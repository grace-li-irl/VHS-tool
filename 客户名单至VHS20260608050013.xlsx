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95" windowHeight="8460"/>
  </bookViews>
  <sheets>
    <sheet name="客户名单至VHS202606080500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<sst xmlns="http://schemas.openxmlformats.org/spreadsheetml/2006/main" count="15" uniqueCount="15">
  <si>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产品/服务名称</t>
  </si>
  <si>
    <t>分公司</t>
  </si>
  <si>
    <t>机构</t>
  </si>
  <si>
    <t>渠道</t>
  </si>
  <si>
    <t>客户号</t>
  </si>
  <si>
    <t>客户姓名</t>
  </si>
  <si>
    <t>客户性别</t>
  </si>
  <si>
    <t>出生日期</t>
  </si>
  <si>
    <t>年龄</t>
  </si>
  <si>
    <t>证件类型</t>
  </si>
  <si>
    <t>证件号</t>
  </si>
  <si>
    <t>保单生效日</t>
  </si>
  <si>
    <t>服务生效日</t>
  </si>
  <si>
    <t>套餐</t>
  </si>
  <si>
    <t>主险产品名称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</si>
</sst>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"/>
  <sheetViews>
    <sheetView tabSelected="1" zoomScaleSheetLayoutView="60" topLeftCell="E1" workbookViewId="0">
      <selection activeCell="F6" sqref="F6"/>
    </sheetView>
  </sheetViews>
  <sheetFormatPr defaultColWidth="9" defaultRowHeight="13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tr">
        <f t="shared" ref="A2:A10" si="0">"都汇康健"</f>
        <v>都汇康健</v>
      </c>
      <c r="B2" t="str">
        <f>"B-福建分公司"</f>
        <v>B-福建分公司</v>
      </c>
      <c r="C2" t="str">
        <f>"FZ-福建福州分公司"</f>
        <v>FZ-福建福州分公司</v>
      </c>
      <c r="D2" t="str">
        <f t="shared" ref="D2:D10" si="1">"银行代理"</f>
        <v>银行代理</v>
      </c>
      <c r="E2" t="str">
        <f>"00740317"</f>
        <v>00740317</v>
      </c>
      <c r="F2" t="str">
        <f>"陈  韬"</f>
        <v>陈  韬</v>
      </c>
      <c r="G2" t="str">
        <f t="shared" ref="G2:G7" si="2">"男"</f>
        <v>男</v>
      </c>
      <c r="H2" t="str">
        <f>"1986-08-05"</f>
        <v>1986-08-05</v>
      </c>
      <c r="I2">
        <v>39</v>
      </c>
      <c r="J2" t="str">
        <f t="shared" ref="J2:J10" si="3">"身份证"</f>
        <v>身份证</v>
      </c>
      <c r="K2" t="str">
        <f>"***054512"</f>
        <v>***054512</v>
      </c>
      <c r="L2" t="str">
        <f>"2017-03-02"</f>
        <v>2017-03-02</v>
      </c>
      <c r="M2" t="str">
        <f>"2017-04-01"</f>
        <v>2017-04-01</v>
      </c>
      <c r="N2" t="str">
        <f t="shared" ref="N2:N10" si="4">"默认"</f>
        <v>默认</v>
      </c>
      <c r="O2" t="str">
        <f t="shared" ref="O2:O10" si="5">"都汇康健"</f>
        <v>都汇康健</v>
      </c>
    </row>
    <row r="3" spans="1:15">
      <c r="A3" t="str">
        <f t="shared" si="0"/>
        <v>都汇康健</v>
      </c>
      <c r="B3" t="str">
        <f>"3-浙江分公司"</f>
        <v>3-浙江分公司</v>
      </c>
      <c r="C3" t="str">
        <f>"NB-浙江宁波分公司"</f>
        <v>NB-浙江宁波分公司</v>
      </c>
      <c r="D3" t="str">
        <f t="shared" si="1"/>
        <v>银行代理</v>
      </c>
      <c r="E3" t="str">
        <f>"00787149"</f>
        <v>00787149</v>
      </c>
      <c r="F3" t="str">
        <f>"张鑫"</f>
        <v>张鑫</v>
      </c>
      <c r="G3" t="str">
        <f t="shared" si="2"/>
        <v>男</v>
      </c>
      <c r="H3" t="str">
        <f>"1984-02-20"</f>
        <v>1984-02-20</v>
      </c>
      <c r="I3">
        <v>42</v>
      </c>
      <c r="J3" t="str">
        <f t="shared" si="3"/>
        <v>身份证</v>
      </c>
      <c r="K3" t="str">
        <f>"***200032"</f>
        <v>***200032</v>
      </c>
      <c r="L3" t="str">
        <f>"2018-02-01"</f>
        <v>2018-02-01</v>
      </c>
      <c r="M3" t="str">
        <f>"2018-03-03"</f>
        <v>2018-03-03</v>
      </c>
      <c r="N3" t="str">
        <f t="shared" si="4"/>
        <v>默认</v>
      </c>
      <c r="O3" t="str">
        <f t="shared" si="5"/>
        <v>都汇康健</v>
      </c>
    </row>
    <row r="4" spans="1:15">
      <c r="A4" t="str">
        <f t="shared" si="0"/>
        <v>都汇康健</v>
      </c>
      <c r="B4" t="str">
        <f>"3-浙江分公司"</f>
        <v>3-浙江分公司</v>
      </c>
      <c r="C4" t="str">
        <f>"NB-浙江宁波分公司"</f>
        <v>NB-浙江宁波分公司</v>
      </c>
      <c r="D4" t="str">
        <f t="shared" si="1"/>
        <v>银行代理</v>
      </c>
      <c r="E4" t="str">
        <f>"00886626"</f>
        <v>00886626</v>
      </c>
      <c r="F4" t="str">
        <f>"周丽"</f>
        <v>周丽</v>
      </c>
      <c r="G4" t="str">
        <f t="shared" ref="G4:G6" si="6">"女"</f>
        <v>女</v>
      </c>
      <c r="H4" t="str">
        <f>"1983-05-01"</f>
        <v>1983-05-01</v>
      </c>
      <c r="I4">
        <v>43</v>
      </c>
      <c r="J4" t="str">
        <f t="shared" si="3"/>
        <v>身份证</v>
      </c>
      <c r="K4" t="str">
        <f>"***01634X"</f>
        <v>***01634X</v>
      </c>
      <c r="L4" t="str">
        <f>"2018-04-19"</f>
        <v>2018-04-19</v>
      </c>
      <c r="M4" t="str">
        <f>"2018-05-19"</f>
        <v>2018-05-19</v>
      </c>
      <c r="N4" t="str">
        <f t="shared" si="4"/>
        <v>默认</v>
      </c>
      <c r="O4" t="str">
        <f t="shared" si="5"/>
        <v>都汇康健</v>
      </c>
    </row>
    <row r="5" spans="1:15">
      <c r="A5" t="str">
        <f t="shared" si="0"/>
        <v>都汇康健</v>
      </c>
      <c r="B5" t="str">
        <f>"A-湖北分公司"</f>
        <v>A-湖北分公司</v>
      </c>
      <c r="C5" t="str">
        <f>"WH-湖北武汉分公司"</f>
        <v>WH-湖北武汉分公司</v>
      </c>
      <c r="D5" t="str">
        <f t="shared" si="1"/>
        <v>银行代理</v>
      </c>
      <c r="E5" t="str">
        <f>"01006356"</f>
        <v>01006356</v>
      </c>
      <c r="F5" t="str">
        <f>"江燕"</f>
        <v>江燕</v>
      </c>
      <c r="G5" t="str">
        <f t="shared" si="6"/>
        <v>女</v>
      </c>
      <c r="H5" t="str">
        <f>"1962-02-17"</f>
        <v>1962-02-17</v>
      </c>
      <c r="I5">
        <v>64</v>
      </c>
      <c r="J5" t="str">
        <f t="shared" si="3"/>
        <v>身份证</v>
      </c>
      <c r="K5" t="str">
        <f>"***17132X"</f>
        <v>***17132X</v>
      </c>
      <c r="L5" t="str">
        <f>"2017-12-05"</f>
        <v>2017-12-05</v>
      </c>
      <c r="M5" t="str">
        <f>"2018-01-04"</f>
        <v>2018-01-04</v>
      </c>
      <c r="N5" t="str">
        <f t="shared" si="4"/>
        <v>默认</v>
      </c>
      <c r="O5" t="str">
        <f t="shared" si="5"/>
        <v>都汇康健</v>
      </c>
    </row>
    <row r="6" spans="1:15">
      <c r="A6" t="str">
        <f t="shared" si="0"/>
        <v>都汇康健</v>
      </c>
      <c r="B6" t="str">
        <f t="shared" ref="B6:B8" si="7">"8-辽宁分公司"</f>
        <v>8-辽宁分公司</v>
      </c>
      <c r="C6" t="str">
        <f t="shared" ref="C6:C8" si="8">"SY-辽宁沈阳分公司"</f>
        <v>SY-辽宁沈阳分公司</v>
      </c>
      <c r="D6" t="str">
        <f t="shared" si="1"/>
        <v>银行代理</v>
      </c>
      <c r="E6" t="str">
        <f>"01058018"</f>
        <v>01058018</v>
      </c>
      <c r="F6" t="str">
        <f>"唐 聪 聪"</f>
        <v>唐 聪 聪</v>
      </c>
      <c r="G6" t="str">
        <f t="shared" si="6"/>
        <v>女</v>
      </c>
      <c r="H6" t="str">
        <f>"1987-06-21"</f>
        <v>1987-06-21</v>
      </c>
      <c r="I6">
        <v>38</v>
      </c>
      <c r="J6" t="str">
        <f t="shared" si="3"/>
        <v>身份证</v>
      </c>
      <c r="K6" t="str">
        <f>"***211280"</f>
        <v>***211280</v>
      </c>
      <c r="L6" t="str">
        <f>"2017-06-20"</f>
        <v>2017-06-20</v>
      </c>
      <c r="M6" t="str">
        <f>"2017-07-20"</f>
        <v>2017-07-20</v>
      </c>
      <c r="N6" t="str">
        <f t="shared" si="4"/>
        <v>默认</v>
      </c>
      <c r="O6" t="str">
        <f t="shared" si="5"/>
        <v>都汇康健</v>
      </c>
    </row>
    <row r="7" spans="1:15">
      <c r="A7" t="str">
        <f t="shared" si="0"/>
        <v>都汇康健</v>
      </c>
      <c r="B7" t="str">
        <f t="shared" si="7"/>
        <v>8-辽宁分公司</v>
      </c>
      <c r="C7" t="str">
        <f t="shared" si="8"/>
        <v>SY-辽宁沈阳分公司</v>
      </c>
      <c r="D7" t="str">
        <f t="shared" si="1"/>
        <v>银行代理</v>
      </c>
      <c r="E7" t="str">
        <f>"01090215"</f>
        <v>01090215</v>
      </c>
      <c r="F7" t="str">
        <f>"吴迪"</f>
        <v>吴迪</v>
      </c>
      <c r="G7" t="str">
        <f t="shared" si="2"/>
        <v>男</v>
      </c>
      <c r="H7" t="str">
        <f>"1980-02-03"</f>
        <v>1980-02-03</v>
      </c>
      <c r="I7">
        <v>46</v>
      </c>
      <c r="J7" t="str">
        <f t="shared" si="3"/>
        <v>身份证</v>
      </c>
      <c r="K7" t="str">
        <f>"***030318"</f>
        <v>***030318</v>
      </c>
      <c r="L7" t="str">
        <f>"2017-09-19"</f>
        <v>2017-09-19</v>
      </c>
      <c r="M7" t="str">
        <f>"2017-10-19"</f>
        <v>2017-10-19</v>
      </c>
      <c r="N7" t="str">
        <f t="shared" si="4"/>
        <v>默认</v>
      </c>
      <c r="O7" t="str">
        <f t="shared" si="5"/>
        <v>都汇康健</v>
      </c>
    </row>
    <row r="8" spans="1:15">
      <c r="A8" t="str">
        <f t="shared" si="0"/>
        <v>都汇康健</v>
      </c>
      <c r="B8" t="str">
        <f t="shared" si="7"/>
        <v>8-辽宁分公司</v>
      </c>
      <c r="C8" t="str">
        <f t="shared" si="8"/>
        <v>SY-辽宁沈阳分公司</v>
      </c>
      <c r="D8" t="str">
        <f t="shared" si="1"/>
        <v>银行代理</v>
      </c>
      <c r="E8" t="str">
        <f>"01141086"</f>
        <v>01141086</v>
      </c>
      <c r="F8" t="str">
        <f>"孟丽"</f>
        <v>孟丽</v>
      </c>
      <c r="G8" t="str">
        <f t="shared" ref="G8:G12" si="9">"女"</f>
        <v>女</v>
      </c>
      <c r="H8" t="str">
        <f>"1984-01-04"</f>
        <v>1984-01-04</v>
      </c>
      <c r="I8">
        <v>42</v>
      </c>
      <c r="J8" t="str">
        <f t="shared" si="3"/>
        <v>身份证</v>
      </c>
      <c r="K8" t="str">
        <f>"***040629"</f>
        <v>***040629</v>
      </c>
      <c r="L8" t="str">
        <f>"2018-03-05"</f>
        <v>2018-03-05</v>
      </c>
      <c r="M8" t="str">
        <f>"2018-04-04"</f>
        <v>2018-04-04</v>
      </c>
      <c r="N8" t="str">
        <f t="shared" si="4"/>
        <v>默认</v>
      </c>
      <c r="O8" t="str">
        <f t="shared" si="5"/>
        <v>都汇康健</v>
      </c>
    </row>
    <row r="9" spans="1:15">
      <c r="A9" t="str">
        <f t="shared" si="0"/>
        <v>都汇康健</v>
      </c>
      <c r="B9" t="str">
        <f>"3-浙江分公司"</f>
        <v>3-浙江分公司</v>
      </c>
      <c r="C9" t="str">
        <f>"NB-浙江宁波分公司"</f>
        <v>NB-浙江宁波分公司</v>
      </c>
      <c r="D9" t="str">
        <f t="shared" si="1"/>
        <v>银行代理</v>
      </c>
      <c r="E9" t="str">
        <f>"01204706"</f>
        <v>01204706</v>
      </c>
      <c r="F9" t="str">
        <f>"杜俊林"</f>
        <v>杜俊林</v>
      </c>
      <c r="G9" t="str">
        <f t="shared" si="9"/>
        <v>女</v>
      </c>
      <c r="H9" t="str">
        <f>"1982-09-24"</f>
        <v>1982-09-24</v>
      </c>
      <c r="I9">
        <v>43</v>
      </c>
      <c r="J9" t="str">
        <f t="shared" si="3"/>
        <v>身份证</v>
      </c>
      <c r="K9" t="str">
        <f>"***240022"</f>
        <v>***240022</v>
      </c>
      <c r="L9" t="str">
        <f>"2017-06-13"</f>
        <v>2017-06-13</v>
      </c>
      <c r="M9" t="str">
        <f>"2017-07-13"</f>
        <v>2017-07-13</v>
      </c>
      <c r="N9" t="str">
        <f t="shared" si="4"/>
        <v>默认</v>
      </c>
      <c r="O9" t="str">
        <f t="shared" si="5"/>
        <v>都汇康健</v>
      </c>
    </row>
    <row r="10" spans="1:15">
      <c r="A10" t="str">
        <f t="shared" si="0"/>
        <v>都汇康健</v>
      </c>
      <c r="B10" t="str">
        <f>"8-辽宁分公司"</f>
        <v>8-辽宁分公司</v>
      </c>
      <c r="C10" t="str">
        <f>"SY-辽宁沈阳分公司"</f>
        <v>SY-辽宁沈阳分公司</v>
      </c>
      <c r="D10" t="str">
        <f t="shared" si="1"/>
        <v>银行代理</v>
      </c>
      <c r="E10" t="str">
        <f>"01407748"</f>
        <v>01407748</v>
      </c>
      <c r="F10" t="str">
        <f>"李雪"</f>
        <v>李雪</v>
      </c>
      <c r="G10" t="str">
        <f t="shared" si="9"/>
        <v>女</v>
      </c>
      <c r="H10" t="str">
        <f>"1978-11-30"</f>
        <v>1978-11-30</v>
      </c>
      <c r="I10">
        <v>47</v>
      </c>
      <c r="J10" t="str">
        <f t="shared" si="3"/>
        <v>身份证</v>
      </c>
      <c r="K10" t="str">
        <f>"***308323"</f>
        <v>***308323</v>
      </c>
      <c r="L10" t="str">
        <f>"2016-12-30"</f>
        <v>2016-12-30</v>
      </c>
      <c r="M10" t="str">
        <f>"2017-01-29"</f>
        <v>2017-01-29</v>
      </c>
      <c r="N10" t="str">
        <f t="shared" si="4"/>
        <v>默认</v>
      </c>
      <c r="O10" t="str">
        <f t="shared" si="5"/>
        <v>都汇康健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客户名单至VHS20260608050013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</cp:lastModifiedBy>
  <dcterms:created xsi:type="dcterms:W3CDTF">2026-06-10T01:58:00Z</dcterms:created>
  <dcterms:modified xsi:type="dcterms:W3CDTF">2026-06-11T07:42:08Z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7310CE46BAC744CFAB3D44C51F88EBDD_13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